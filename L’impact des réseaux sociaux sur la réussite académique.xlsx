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4AC8DA2-F6B7-44C1-9447-FC868C61230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éponses au formulaire 1" sheetId="1" r:id="rId1"/>
    <sheet name="Analyse" sheetId="2" r:id="rId2"/>
  </sheets>
  <calcPr calcId="181029" iterateDelta="1E-4"/>
</workbook>
</file>

<file path=xl/calcChain.xml><?xml version="1.0" encoding="utf-8"?>
<calcChain xmlns="http://schemas.openxmlformats.org/spreadsheetml/2006/main">
  <c r="B11" i="2" l="1"/>
  <c r="B10" i="2"/>
  <c r="B9" i="2"/>
  <c r="B8" i="2"/>
  <c r="F47" i="2"/>
  <c r="F46" i="2"/>
  <c r="F45" i="2"/>
  <c r="F44" i="2"/>
  <c r="F43" i="2"/>
  <c r="F41" i="2"/>
  <c r="F40" i="2"/>
  <c r="F39" i="2"/>
  <c r="F38" i="2"/>
  <c r="F37" i="2"/>
  <c r="F36" i="2"/>
  <c r="F35" i="2"/>
  <c r="B30" i="2"/>
  <c r="C30" i="2" s="1"/>
  <c r="B29" i="2"/>
  <c r="C29" i="2" s="1"/>
  <c r="B28" i="2"/>
  <c r="C28" i="2" s="1"/>
  <c r="B27" i="2"/>
  <c r="C27" i="2" s="1"/>
  <c r="B26" i="2"/>
  <c r="C26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31" i="2" l="1"/>
  <c r="C31" i="2" s="1"/>
  <c r="B22" i="2"/>
  <c r="C22" i="2" s="1"/>
</calcChain>
</file>

<file path=xl/sharedStrings.xml><?xml version="1.0" encoding="utf-8"?>
<sst xmlns="http://schemas.openxmlformats.org/spreadsheetml/2006/main" count="168" uniqueCount="87">
  <si>
    <t>Horodateur</t>
  </si>
  <si>
    <t xml:space="preserve">Taleb </t>
  </si>
  <si>
    <t>Liscence 1</t>
  </si>
  <si>
    <t>Youtube</t>
  </si>
  <si>
    <t>Recherche academique</t>
  </si>
  <si>
    <t>plus de 4h</t>
  </si>
  <si>
    <t>Plus de 16/20</t>
  </si>
  <si>
    <t>5h a 6h</t>
  </si>
  <si>
    <t xml:space="preserve">Rokia Bettar </t>
  </si>
  <si>
    <t>Liscence 3</t>
  </si>
  <si>
    <t>Tiktok</t>
  </si>
  <si>
    <t>Divertissement / detente, Communication avec amis, Actualités / informations</t>
  </si>
  <si>
    <t>Entre 12 et 14/20</t>
  </si>
  <si>
    <t>Moins de 5h</t>
  </si>
  <si>
    <t>Roukaye</t>
  </si>
  <si>
    <t>Snapchat</t>
  </si>
  <si>
    <t>Communication avec amis, Autre</t>
  </si>
  <si>
    <t>Entre 3h et 4h</t>
  </si>
  <si>
    <t>Entre 10 et 12/20</t>
  </si>
  <si>
    <t>N</t>
  </si>
  <si>
    <t>Divertissement / detente, Communication avec amis, Cours / tutoriels</t>
  </si>
  <si>
    <t>Entre 2h et 3h</t>
  </si>
  <si>
    <t>MOHAMED AHMED WALED</t>
  </si>
  <si>
    <t>Divertissement / detente, Communication avec amis</t>
  </si>
  <si>
    <t xml:space="preserve">Mamadou Sy </t>
  </si>
  <si>
    <t>Liscence 2</t>
  </si>
  <si>
    <t>Veille professionnelle</t>
  </si>
  <si>
    <t>Entre 1h et 2h</t>
  </si>
  <si>
    <t>محمد عبدو أكباد</t>
  </si>
  <si>
    <t>Divertissement / detente, Communication avec amis, Recherche academique, Cours / tutoriels, Actualités / informations</t>
  </si>
  <si>
    <t>Autre</t>
  </si>
  <si>
    <t>Lashar medlemin</t>
  </si>
  <si>
    <t>Cours / tutoriels</t>
  </si>
  <si>
    <t>Mohamed</t>
  </si>
  <si>
    <t>Master 1</t>
  </si>
  <si>
    <t>Instagram</t>
  </si>
  <si>
    <t>7h a 8h</t>
  </si>
  <si>
    <t>Lashar</t>
  </si>
  <si>
    <t>6h a 7h</t>
  </si>
  <si>
    <t>Moustapha</t>
  </si>
  <si>
    <t>Facebook</t>
  </si>
  <si>
    <t>Plus de 8h</t>
  </si>
  <si>
    <t>Khaled</t>
  </si>
  <si>
    <t>Master 2</t>
  </si>
  <si>
    <t>Linkedln</t>
  </si>
  <si>
    <t>Toto</t>
  </si>
  <si>
    <t>Communication avec amis</t>
  </si>
  <si>
    <t xml:space="preserve">Mohamed sidi Mohamed </t>
  </si>
  <si>
    <t>Autres(preciser)</t>
  </si>
  <si>
    <t>Communication avec amis, Recherche academique, Cours / tutoriels</t>
  </si>
  <si>
    <t>Analyse des données — Impact des réseaux sociaux sur les études</t>
  </si>
  <si>
    <t>Source : Google Forms  •  15 réponses collectées  •  Mars 2026</t>
  </si>
  <si>
    <t>Indicateur</t>
  </si>
  <si>
    <t>Résultat</t>
  </si>
  <si>
    <t>Réseau Social</t>
  </si>
  <si>
    <t>Pourcentage</t>
  </si>
  <si>
    <t>TOTAL</t>
  </si>
  <si>
    <t>Tranche horaire</t>
  </si>
  <si>
    <t>Moins de 1h</t>
  </si>
  <si>
    <t xml:space="preserve">  Tendance principale :  La majorité des étudiants passent plus de 4h par jour sur les réseaux sociaux, ce qui représente un usage intensif.</t>
  </si>
  <si>
    <t xml:space="preserve">  Réseau majoritaire :  TikTok est le réseau social le plus utilisé parmi les répondants, suivi de YouTube et Snapchat.</t>
  </si>
  <si>
    <t xml:space="preserve">  Impact sur la concentration :  La moyenne de l'échelle de nuisance est d'environ 3,5/5, indiquant que les étudiants reconnaissent un impact modéré à fort sur leur concentration.</t>
  </si>
  <si>
    <t xml:space="preserve">  Lien avec les résultats académiques :  La plupart des répondants ayant un usage intensif se situent dans la tranche de moyenne entre 12 et 14/20.</t>
  </si>
  <si>
    <t xml:space="preserve">  Conclusion :  Les réseaux sociaux occupent une place importante dans le quotidien des étudiants et semblent influencer négativement leur concentration et leur sommeil.</t>
  </si>
  <si>
    <t>Nombre de réponses</t>
  </si>
  <si>
    <t xml:space="preserve">Nombre de réponses </t>
  </si>
  <si>
    <t xml:space="preserve">Valeur minimum </t>
  </si>
  <si>
    <t xml:space="preserve">Valeur maximum </t>
  </si>
  <si>
    <t xml:space="preserve">Moyenne </t>
  </si>
  <si>
    <t>■  ANALYSE DES DONNÉES DANS EXCEL</t>
  </si>
  <si>
    <t>Somme</t>
  </si>
  <si>
    <t>Moyenne</t>
  </si>
  <si>
    <t>Résultat cumulé</t>
  </si>
  <si>
    <t>Nombre</t>
  </si>
  <si>
    <t xml:space="preserve">  Analyse numérique — Échelle de nuisance des réseaux sociaux sur la concentration (1 à 5)</t>
  </si>
  <si>
    <t xml:space="preserve"> Analyse catégorielle — Réseau social le plus utilisé au quotidien</t>
  </si>
  <si>
    <t>Analyse complémentaire — Temps passé sur les réseaux sociaux par jour</t>
  </si>
  <si>
    <t>■   GRAPHIQUES</t>
  </si>
  <si>
    <t>■   INTERPRÉTATION DES RÉSULTATS</t>
  </si>
  <si>
    <t>Nom</t>
  </si>
  <si>
    <t>Niveau_Études</t>
  </si>
  <si>
    <t>Réseau_Principal</t>
  </si>
  <si>
    <t>Usages</t>
  </si>
  <si>
    <t>Heures_Par_Jour</t>
  </si>
  <si>
    <t>Moyenne_Académique</t>
  </si>
  <si>
    <t>Nuisance_Concentration</t>
  </si>
  <si>
    <t>Heures_Sommeil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</si>
</sst>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%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5"/>
      <color rgb="FFFFFFFF"/>
      <name val="Arial"/>
    </font>
    <font>
      <i/>
      <sz val="10"/>
      <color rgb="FF1A3C5E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FEF0E8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EEF5EA"/>
      </patternFill>
    </fill>
    <fill>
      <patternFill patternType="solid">
        <fgColor rgb="FFFFFFFF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BBBBB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165" fontId="6" fillId="9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165" fontId="7" fillId="7" borderId="2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165" fontId="7" fillId="10" borderId="2" xfId="0" applyNumberFormat="1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6" borderId="0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left" vertical="center" wrapText="1"/>
    </xf>
    <xf numFmtId="0" fontId="6" fillId="13" borderId="0" xfId="0" applyFont="1" applyFill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9" fillId="14" borderId="0" xfId="0" applyFont="1" applyFill="1" applyAlignment="1">
      <alignment horizontal="left" vertical="center"/>
    </xf>
  </cellXfs>
  <cellStyles count="1">
    <cellStyle name="Normal" xfId="0" builtinId="0"/>
  </cellStyles>
  <dxfs count="14">
    <dxf>
      <font>
        <b/>
        <family val="2"/>
      </font>
      <fill>
        <patternFill patternType="solid">
          <fgColor indexed="64"/>
          <bgColor theme="4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Réponses au formulaire 1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FR"/>
              <a:t>Distribution du temps passé sur les réseaux sociaux</a:t>
            </a:r>
          </a:p>
        </c:rich>
      </c:tx>
      <c:layout>
        <c:manualLayout>
          <c:xMode val="edge"/>
          <c:yMode val="edge"/>
          <c:x val="0.15177142776817321"/>
          <c:y val="4.440914356114120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8476781309262384E-2"/>
          <c:y val="3.6511640363974793E-2"/>
          <c:w val="0.72624053212285566"/>
          <c:h val="0.80351989608372221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elete val="1"/>
          </c:dLbls>
          <c:cat>
            <c:strRef>
              <c:f>Analyse!$E$43:$E$47</c:f>
              <c:strCache>
                <c:ptCount val="5"/>
                <c:pt idx="0">
                  <c:v>Moins de 1h</c:v>
                </c:pt>
                <c:pt idx="1">
                  <c:v>Entre 1h et 2h</c:v>
                </c:pt>
                <c:pt idx="2">
                  <c:v>Entre 2h et 3h</c:v>
                </c:pt>
                <c:pt idx="3">
                  <c:v>Entre 3h et 4h</c:v>
                </c:pt>
                <c:pt idx="4">
                  <c:v>plus de 4h</c:v>
                </c:pt>
              </c:strCache>
            </c:strRef>
          </c:cat>
          <c:val>
            <c:numRef>
              <c:f>Analyse!$F$43:$F$47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9-448C-83F4-663041EBACA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Tranche horaire</a:t>
                </a:r>
              </a:p>
            </c:rich>
          </c:tx>
          <c:layout>
            <c:manualLayout>
              <c:xMode val="edge"/>
              <c:yMode val="edge"/>
              <c:x val="0.37113015929493942"/>
              <c:y val="0.93549825798597996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Nombre de répondants</a:t>
                </a:r>
              </a:p>
            </c:rich>
          </c:tx>
          <c:layout>
            <c:manualLayout>
              <c:xMode val="edge"/>
              <c:yMode val="edge"/>
              <c:x val="1.1744967373960315E-3"/>
              <c:y val="0.18856753553709052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kern="1200" baseline="0">
                <a:solidFill>
                  <a:srgbClr val="000000"/>
                </a:solidFill>
              </a:rPr>
              <a:t>Répartition des réseaux sociaux utilisés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Analyse!$E$35:$E$41</c:f>
              <c:strCache>
                <c:ptCount val="7"/>
                <c:pt idx="0">
                  <c:v>Tiktok</c:v>
                </c:pt>
                <c:pt idx="1">
                  <c:v>Youtube</c:v>
                </c:pt>
                <c:pt idx="2">
                  <c:v>Snapchat</c:v>
                </c:pt>
                <c:pt idx="3">
                  <c:v>Instagram</c:v>
                </c:pt>
                <c:pt idx="4">
                  <c:v>Facebook</c:v>
                </c:pt>
                <c:pt idx="5">
                  <c:v>Linkedln</c:v>
                </c:pt>
                <c:pt idx="6">
                  <c:v>Autres(preciser)</c:v>
                </c:pt>
              </c:strCache>
            </c:strRef>
          </c:cat>
          <c:val>
            <c:numRef>
              <c:f>Analyse!$F$35:$F$41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F-4B58-9422-1EC31DD4424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126999</xdr:colOff>
      <xdr:row>48</xdr:row>
      <xdr:rowOff>137583</xdr:rowOff>
    </xdr:from>
    <xdr:ext cx="5497287" cy="343051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453153</xdr:colOff>
      <xdr:row>32</xdr:row>
      <xdr:rowOff>320291</xdr:rowOff>
    </xdr:from>
    <xdr:to>
      <xdr:col>2</xdr:col>
      <xdr:colOff>840245</xdr:colOff>
      <xdr:row>49</xdr:row>
      <xdr:rowOff>162706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41C7706A-4D6A-03B4-FA00-745ED2DFD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16" headerRowDxfId="0">
  <tableColumns count="9">
    <tableColumn id="1" xr3:uid="{00000000-0010-0000-0000-000001000000}" name="Horodateur" dataDxfId="9"/>
    <tableColumn id="2" xr3:uid="{00000000-0010-0000-0000-000002000000}" name="Nom" dataDxfId="8"/>
    <tableColumn id="3" xr3:uid="{00000000-0010-0000-0000-000003000000}" name="Niveau_Études" dataDxfId="7"/>
    <tableColumn id="4" xr3:uid="{00000000-0010-0000-0000-000004000000}" name="Réseau_Principal" dataDxfId="6"/>
    <tableColumn id="5" xr3:uid="{00000000-0010-0000-0000-000005000000}" name="Usages" dataDxfId="5"/>
    <tableColumn id="6" xr3:uid="{00000000-0010-0000-0000-000006000000}" name="Heures_Par_Jour" dataDxfId="4"/>
    <tableColumn id="7" xr3:uid="{00000000-0010-0000-0000-000007000000}" name="Moyenne_Académique" dataDxfId="3"/>
    <tableColumn id="8" xr3:uid="{00000000-0010-0000-0000-000008000000}" name="Nuisance_Concentration" dataDxfId="2"/>
    <tableColumn id="9" xr3:uid="{00000000-0010-0000-0000-000009000000}" name="Heures_Sommeil" dataDxfId="1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zoomScale="75" workbookViewId="0">
      <pane ySplit="1" topLeftCell="A2" activePane="bottomLeft" state="frozen"/>
      <selection pane="bottomLeft" activeCell="I8" sqref="I8"/>
    </sheetView>
  </sheetViews>
  <sheetFormatPr baseColWidth="10" defaultColWidth="12.6328125" defaultRowHeight="15.75" customHeight="1" x14ac:dyDescent="0.25"/>
  <cols>
    <col min="1" max="1" width="18.90625" customWidth="1"/>
    <col min="2" max="2" width="37.6328125" customWidth="1"/>
    <col min="3" max="3" width="32.90625" customWidth="1"/>
    <col min="4" max="7" width="37.6328125" customWidth="1"/>
    <col min="8" max="8" width="22.26953125" bestFit="1" customWidth="1"/>
    <col min="9" max="9" width="37.6328125" customWidth="1"/>
    <col min="10" max="15" width="18.90625" customWidth="1"/>
  </cols>
  <sheetData>
    <row r="1" spans="1:9" ht="22.5" customHeight="1" x14ac:dyDescent="0.25">
      <c r="A1" s="33" t="s">
        <v>0</v>
      </c>
      <c r="B1" s="33" t="s">
        <v>79</v>
      </c>
      <c r="C1" s="33" t="s">
        <v>80</v>
      </c>
      <c r="D1" s="33" t="s">
        <v>81</v>
      </c>
      <c r="E1" s="33" t="s">
        <v>82</v>
      </c>
      <c r="F1" s="33" t="s">
        <v>83</v>
      </c>
      <c r="G1" s="33" t="s">
        <v>84</v>
      </c>
      <c r="H1" s="33" t="s">
        <v>85</v>
      </c>
      <c r="I1" s="33" t="s">
        <v>86</v>
      </c>
    </row>
    <row r="2" spans="1:9" ht="22.5" customHeight="1" x14ac:dyDescent="0.25">
      <c r="A2" s="31">
        <v>46095.516842835648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>
        <v>3</v>
      </c>
      <c r="I2" s="32" t="s">
        <v>7</v>
      </c>
    </row>
    <row r="3" spans="1:9" ht="22.5" customHeight="1" x14ac:dyDescent="0.25">
      <c r="A3" s="31">
        <v>46095.521170729167</v>
      </c>
      <c r="B3" s="32" t="s">
        <v>8</v>
      </c>
      <c r="C3" s="32" t="s">
        <v>9</v>
      </c>
      <c r="D3" s="32" t="s">
        <v>10</v>
      </c>
      <c r="E3" s="32" t="s">
        <v>11</v>
      </c>
      <c r="F3" s="32" t="s">
        <v>5</v>
      </c>
      <c r="G3" s="32" t="s">
        <v>12</v>
      </c>
      <c r="H3" s="32">
        <v>3</v>
      </c>
      <c r="I3" s="32" t="s">
        <v>13</v>
      </c>
    </row>
    <row r="4" spans="1:9" ht="22.5" customHeight="1" x14ac:dyDescent="0.25">
      <c r="A4" s="31">
        <v>46095.524447048607</v>
      </c>
      <c r="B4" s="32" t="s">
        <v>14</v>
      </c>
      <c r="C4" s="32" t="s">
        <v>2</v>
      </c>
      <c r="D4" s="32" t="s">
        <v>15</v>
      </c>
      <c r="E4" s="32" t="s">
        <v>16</v>
      </c>
      <c r="F4" s="32" t="s">
        <v>17</v>
      </c>
      <c r="G4" s="32" t="s">
        <v>18</v>
      </c>
      <c r="H4" s="32">
        <v>3</v>
      </c>
      <c r="I4" s="32" t="s">
        <v>13</v>
      </c>
    </row>
    <row r="5" spans="1:9" ht="22.5" customHeight="1" x14ac:dyDescent="0.25">
      <c r="A5" s="31">
        <v>46095.538202754629</v>
      </c>
      <c r="B5" s="32" t="s">
        <v>19</v>
      </c>
      <c r="C5" s="32" t="s">
        <v>2</v>
      </c>
      <c r="D5" s="32" t="s">
        <v>10</v>
      </c>
      <c r="E5" s="32" t="s">
        <v>20</v>
      </c>
      <c r="F5" s="32" t="s">
        <v>21</v>
      </c>
      <c r="G5" s="32" t="s">
        <v>12</v>
      </c>
      <c r="H5" s="32">
        <v>5</v>
      </c>
      <c r="I5" s="32" t="s">
        <v>13</v>
      </c>
    </row>
    <row r="6" spans="1:9" ht="22.5" customHeight="1" x14ac:dyDescent="0.25">
      <c r="A6" s="31">
        <v>46095.538603761583</v>
      </c>
      <c r="B6" s="32" t="s">
        <v>22</v>
      </c>
      <c r="C6" s="32" t="s">
        <v>2</v>
      </c>
      <c r="D6" s="32" t="s">
        <v>10</v>
      </c>
      <c r="E6" s="32" t="s">
        <v>23</v>
      </c>
      <c r="F6" s="32" t="s">
        <v>5</v>
      </c>
      <c r="G6" s="32" t="s">
        <v>12</v>
      </c>
      <c r="H6" s="32">
        <v>5</v>
      </c>
      <c r="I6" s="32" t="s">
        <v>13</v>
      </c>
    </row>
    <row r="7" spans="1:9" ht="22.5" customHeight="1" x14ac:dyDescent="0.25">
      <c r="A7" s="31">
        <v>46095.543274050928</v>
      </c>
      <c r="B7" s="32" t="s">
        <v>24</v>
      </c>
      <c r="C7" s="32" t="s">
        <v>25</v>
      </c>
      <c r="D7" s="32" t="s">
        <v>10</v>
      </c>
      <c r="E7" s="32" t="s">
        <v>26</v>
      </c>
      <c r="F7" s="32" t="s">
        <v>27</v>
      </c>
      <c r="G7" s="32" t="s">
        <v>18</v>
      </c>
      <c r="H7" s="32">
        <v>3</v>
      </c>
      <c r="I7" s="32" t="s">
        <v>13</v>
      </c>
    </row>
    <row r="8" spans="1:9" ht="22.5" customHeight="1" x14ac:dyDescent="0.25">
      <c r="A8" s="31">
        <v>46095.560324155093</v>
      </c>
      <c r="B8" s="32" t="s">
        <v>28</v>
      </c>
      <c r="C8" s="32" t="s">
        <v>2</v>
      </c>
      <c r="D8" s="32" t="s">
        <v>3</v>
      </c>
      <c r="E8" s="32" t="s">
        <v>29</v>
      </c>
      <c r="F8" s="32" t="s">
        <v>5</v>
      </c>
      <c r="G8" s="32" t="s">
        <v>12</v>
      </c>
      <c r="H8" s="32">
        <v>3</v>
      </c>
      <c r="I8" s="32" t="s">
        <v>7</v>
      </c>
    </row>
    <row r="9" spans="1:9" ht="22.5" customHeight="1" x14ac:dyDescent="0.25">
      <c r="A9" s="31">
        <v>46095.561959872677</v>
      </c>
      <c r="B9" s="32">
        <v>25130</v>
      </c>
      <c r="C9" s="32" t="s">
        <v>2</v>
      </c>
      <c r="D9" s="32" t="s">
        <v>10</v>
      </c>
      <c r="E9" s="32" t="s">
        <v>30</v>
      </c>
      <c r="F9" s="32" t="s">
        <v>5</v>
      </c>
      <c r="G9" s="32" t="s">
        <v>12</v>
      </c>
      <c r="H9" s="32">
        <v>3</v>
      </c>
      <c r="I9" s="32" t="s">
        <v>7</v>
      </c>
    </row>
    <row r="10" spans="1:9" ht="22.5" customHeight="1" x14ac:dyDescent="0.25">
      <c r="A10" s="31">
        <v>46095.562611701389</v>
      </c>
      <c r="B10" s="32" t="s">
        <v>31</v>
      </c>
      <c r="C10" s="32" t="s">
        <v>25</v>
      </c>
      <c r="D10" s="32" t="s">
        <v>3</v>
      </c>
      <c r="E10" s="32" t="s">
        <v>32</v>
      </c>
      <c r="F10" s="32" t="s">
        <v>21</v>
      </c>
      <c r="G10" s="32" t="s">
        <v>12</v>
      </c>
      <c r="H10" s="32">
        <v>3</v>
      </c>
      <c r="I10" s="32" t="s">
        <v>13</v>
      </c>
    </row>
    <row r="11" spans="1:9" ht="22.5" customHeight="1" x14ac:dyDescent="0.25">
      <c r="A11" s="31">
        <v>46095.563345706018</v>
      </c>
      <c r="B11" s="32" t="s">
        <v>33</v>
      </c>
      <c r="C11" s="32" t="s">
        <v>34</v>
      </c>
      <c r="D11" s="32" t="s">
        <v>35</v>
      </c>
      <c r="E11" s="32" t="s">
        <v>4</v>
      </c>
      <c r="F11" s="32" t="s">
        <v>5</v>
      </c>
      <c r="G11" s="32" t="s">
        <v>18</v>
      </c>
      <c r="H11" s="32">
        <v>3</v>
      </c>
      <c r="I11" s="32" t="s">
        <v>36</v>
      </c>
    </row>
    <row r="12" spans="1:9" ht="22.5" customHeight="1" x14ac:dyDescent="0.25">
      <c r="A12" s="31">
        <v>46095.564279317128</v>
      </c>
      <c r="B12" s="32" t="s">
        <v>37</v>
      </c>
      <c r="C12" s="32" t="s">
        <v>2</v>
      </c>
      <c r="D12" s="32" t="s">
        <v>15</v>
      </c>
      <c r="E12" s="32" t="s">
        <v>32</v>
      </c>
      <c r="F12" s="32" t="s">
        <v>21</v>
      </c>
      <c r="G12" s="32" t="s">
        <v>12</v>
      </c>
      <c r="H12" s="32">
        <v>4</v>
      </c>
      <c r="I12" s="32" t="s">
        <v>38</v>
      </c>
    </row>
    <row r="13" spans="1:9" ht="22.5" customHeight="1" x14ac:dyDescent="0.25">
      <c r="A13" s="31">
        <v>46095.570091689813</v>
      </c>
      <c r="B13" s="32" t="s">
        <v>39</v>
      </c>
      <c r="C13" s="32" t="s">
        <v>9</v>
      </c>
      <c r="D13" s="32" t="s">
        <v>40</v>
      </c>
      <c r="E13" s="32" t="s">
        <v>32</v>
      </c>
      <c r="F13" s="32" t="s">
        <v>17</v>
      </c>
      <c r="G13" s="32" t="s">
        <v>6</v>
      </c>
      <c r="H13" s="32">
        <v>5</v>
      </c>
      <c r="I13" s="32" t="s">
        <v>41</v>
      </c>
    </row>
    <row r="14" spans="1:9" ht="22.5" customHeight="1" x14ac:dyDescent="0.25">
      <c r="A14" s="31">
        <v>46095.571249884262</v>
      </c>
      <c r="B14" s="32" t="s">
        <v>42</v>
      </c>
      <c r="C14" s="32" t="s">
        <v>43</v>
      </c>
      <c r="D14" s="32" t="s">
        <v>44</v>
      </c>
      <c r="E14" s="32" t="s">
        <v>4</v>
      </c>
      <c r="F14" s="32" t="s">
        <v>21</v>
      </c>
      <c r="G14" s="32" t="s">
        <v>6</v>
      </c>
      <c r="H14" s="32">
        <v>4</v>
      </c>
      <c r="I14" s="32" t="s">
        <v>41</v>
      </c>
    </row>
    <row r="15" spans="1:9" ht="22.5" customHeight="1" x14ac:dyDescent="0.25">
      <c r="A15" s="31">
        <v>46095.57235894676</v>
      </c>
      <c r="B15" s="32" t="s">
        <v>45</v>
      </c>
      <c r="C15" s="32" t="s">
        <v>9</v>
      </c>
      <c r="D15" s="32" t="s">
        <v>15</v>
      </c>
      <c r="E15" s="32" t="s">
        <v>46</v>
      </c>
      <c r="F15" s="32" t="s">
        <v>21</v>
      </c>
      <c r="G15" s="32" t="s">
        <v>12</v>
      </c>
      <c r="H15" s="32">
        <v>3</v>
      </c>
      <c r="I15" s="32" t="s">
        <v>36</v>
      </c>
    </row>
    <row r="16" spans="1:9" ht="22.5" customHeight="1" x14ac:dyDescent="0.25">
      <c r="A16" s="31">
        <v>46095.638812037039</v>
      </c>
      <c r="B16" s="32" t="s">
        <v>47</v>
      </c>
      <c r="C16" s="32" t="s">
        <v>2</v>
      </c>
      <c r="D16" s="32" t="s">
        <v>48</v>
      </c>
      <c r="E16" s="32" t="s">
        <v>49</v>
      </c>
      <c r="F16" s="32" t="s">
        <v>21</v>
      </c>
      <c r="G16" s="32" t="s">
        <v>18</v>
      </c>
      <c r="H16" s="32">
        <v>3</v>
      </c>
      <c r="I16" s="32" t="s">
        <v>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tabSelected="1" topLeftCell="A41" zoomScale="68" zoomScaleNormal="74" workbookViewId="0">
      <selection activeCell="B15" sqref="B15"/>
    </sheetView>
  </sheetViews>
  <sheetFormatPr baseColWidth="10" defaultColWidth="8.7265625" defaultRowHeight="12.5" x14ac:dyDescent="0.25"/>
  <cols>
    <col min="1" max="1" width="38" customWidth="1"/>
    <col min="2" max="2" width="22" customWidth="1"/>
    <col min="3" max="3" width="14" customWidth="1"/>
    <col min="4" max="4" width="3" customWidth="1"/>
    <col min="5" max="5" width="38" customWidth="1"/>
    <col min="6" max="6" width="22" customWidth="1"/>
    <col min="7" max="7" width="14" customWidth="1"/>
  </cols>
  <sheetData>
    <row r="1" spans="1:7" ht="38" customHeight="1" x14ac:dyDescent="0.25">
      <c r="A1" s="19" t="s">
        <v>50</v>
      </c>
      <c r="B1" s="17"/>
      <c r="C1" s="17"/>
      <c r="D1" s="17"/>
      <c r="E1" s="17"/>
      <c r="F1" s="17"/>
      <c r="G1" s="17"/>
    </row>
    <row r="2" spans="1:7" ht="18" customHeight="1" x14ac:dyDescent="0.25">
      <c r="A2" s="22" t="s">
        <v>51</v>
      </c>
      <c r="B2" s="17"/>
      <c r="C2" s="17"/>
      <c r="D2" s="17"/>
      <c r="E2" s="17"/>
      <c r="F2" s="17"/>
      <c r="G2" s="17"/>
    </row>
    <row r="4" spans="1:7" ht="26" customHeight="1" x14ac:dyDescent="0.25">
      <c r="A4" s="18" t="s">
        <v>69</v>
      </c>
      <c r="B4" s="17"/>
      <c r="C4" s="17"/>
      <c r="D4" s="17"/>
      <c r="E4" s="17"/>
      <c r="F4" s="17"/>
      <c r="G4" s="17"/>
    </row>
    <row r="6" spans="1:7" ht="28" customHeight="1" x14ac:dyDescent="0.25">
      <c r="A6" s="20" t="s">
        <v>74</v>
      </c>
      <c r="B6" s="17"/>
      <c r="C6" s="17"/>
      <c r="D6" s="17"/>
      <c r="E6" s="17"/>
      <c r="F6" s="17"/>
      <c r="G6" s="17"/>
    </row>
    <row r="7" spans="1:7" ht="13" x14ac:dyDescent="0.25">
      <c r="A7" s="23" t="s">
        <v>52</v>
      </c>
      <c r="B7" s="23" t="s">
        <v>53</v>
      </c>
    </row>
    <row r="8" spans="1:7" ht="13" x14ac:dyDescent="0.25">
      <c r="A8" s="24" t="s">
        <v>65</v>
      </c>
      <c r="B8" s="24">
        <f>COUNT('Réponses au formulaire 1'!H2:H16)</f>
        <v>15</v>
      </c>
    </row>
    <row r="9" spans="1:7" ht="13" x14ac:dyDescent="0.25">
      <c r="A9" s="25" t="s">
        <v>66</v>
      </c>
      <c r="B9" s="25">
        <f>MIN('Réponses au formulaire 1'!H2:H16)</f>
        <v>3</v>
      </c>
    </row>
    <row r="10" spans="1:7" ht="13" x14ac:dyDescent="0.25">
      <c r="A10" s="24" t="s">
        <v>67</v>
      </c>
      <c r="B10" s="24">
        <f>MAX('Réponses au formulaire 1'!H2:H16)</f>
        <v>5</v>
      </c>
    </row>
    <row r="11" spans="1:7" ht="13" x14ac:dyDescent="0.25">
      <c r="A11" s="25" t="s">
        <v>68</v>
      </c>
      <c r="B11" s="26">
        <f>AVERAGE('Réponses au formulaire 1'!H2:H16)</f>
        <v>3.5333333333333332</v>
      </c>
    </row>
    <row r="13" spans="1:7" ht="28" customHeight="1" x14ac:dyDescent="0.25">
      <c r="A13" s="16" t="s">
        <v>75</v>
      </c>
      <c r="B13" s="16"/>
      <c r="C13" s="16"/>
      <c r="D13" s="16"/>
      <c r="E13" s="16"/>
      <c r="F13" s="16"/>
      <c r="G13" s="16"/>
    </row>
    <row r="14" spans="1:7" ht="13" x14ac:dyDescent="0.25">
      <c r="A14" s="3" t="s">
        <v>54</v>
      </c>
      <c r="B14" s="3" t="s">
        <v>64</v>
      </c>
      <c r="C14" s="3" t="s">
        <v>55</v>
      </c>
    </row>
    <row r="15" spans="1:7" x14ac:dyDescent="0.25">
      <c r="A15" s="4" t="s">
        <v>10</v>
      </c>
      <c r="B15" s="5">
        <f>COUNTIF('Réponses au formulaire 1'!D2:D16,"Tiktok")</f>
        <v>5</v>
      </c>
      <c r="C15" s="6">
        <f t="shared" ref="C15:C22" si="0">B15/15</f>
        <v>0.33333333333333331</v>
      </c>
    </row>
    <row r="16" spans="1:7" x14ac:dyDescent="0.25">
      <c r="A16" s="1" t="s">
        <v>3</v>
      </c>
      <c r="B16" s="2">
        <f>COUNTIF('Réponses au formulaire 1'!D2:D16,"Youtube")</f>
        <v>3</v>
      </c>
      <c r="C16" s="7">
        <f t="shared" si="0"/>
        <v>0.2</v>
      </c>
    </row>
    <row r="17" spans="1:7" x14ac:dyDescent="0.25">
      <c r="A17" s="4" t="s">
        <v>15</v>
      </c>
      <c r="B17" s="5">
        <f>COUNTIF('Réponses au formulaire 1'!D2:D16,"Snapchat")</f>
        <v>3</v>
      </c>
      <c r="C17" s="6">
        <f t="shared" si="0"/>
        <v>0.2</v>
      </c>
    </row>
    <row r="18" spans="1:7" x14ac:dyDescent="0.25">
      <c r="A18" s="1" t="s">
        <v>35</v>
      </c>
      <c r="B18" s="2">
        <f>COUNTIF('Réponses au formulaire 1'!D2:D16,"Instagram")</f>
        <v>1</v>
      </c>
      <c r="C18" s="7">
        <f t="shared" si="0"/>
        <v>6.6666666666666666E-2</v>
      </c>
    </row>
    <row r="19" spans="1:7" x14ac:dyDescent="0.25">
      <c r="A19" s="4" t="s">
        <v>40</v>
      </c>
      <c r="B19" s="5">
        <f>COUNTIF('Réponses au formulaire 1'!D2:D16,"Facebook")</f>
        <v>1</v>
      </c>
      <c r="C19" s="6">
        <f t="shared" si="0"/>
        <v>6.6666666666666666E-2</v>
      </c>
    </row>
    <row r="20" spans="1:7" x14ac:dyDescent="0.25">
      <c r="A20" s="1" t="s">
        <v>44</v>
      </c>
      <c r="B20" s="2">
        <f>COUNTIF('Réponses au formulaire 1'!D2:D16,"Linkedln")</f>
        <v>1</v>
      </c>
      <c r="C20" s="7">
        <f t="shared" si="0"/>
        <v>6.6666666666666666E-2</v>
      </c>
    </row>
    <row r="21" spans="1:7" x14ac:dyDescent="0.25">
      <c r="A21" s="4" t="s">
        <v>48</v>
      </c>
      <c r="B21" s="5">
        <f>COUNTIF('Réponses au formulaire 1'!D2:D16,"Autres(preciser)")</f>
        <v>1</v>
      </c>
      <c r="C21" s="6">
        <f t="shared" si="0"/>
        <v>6.6666666666666666E-2</v>
      </c>
    </row>
    <row r="22" spans="1:7" ht="13" x14ac:dyDescent="0.25">
      <c r="A22" s="8" t="s">
        <v>56</v>
      </c>
      <c r="B22" s="8">
        <f>SUM(B15:B21)</f>
        <v>15</v>
      </c>
      <c r="C22" s="9">
        <f t="shared" si="0"/>
        <v>1</v>
      </c>
      <c r="D22" s="8"/>
    </row>
    <row r="24" spans="1:7" ht="28" customHeight="1" x14ac:dyDescent="0.25">
      <c r="A24" s="21" t="s">
        <v>76</v>
      </c>
      <c r="B24" s="21"/>
      <c r="C24" s="21"/>
      <c r="D24" s="21"/>
      <c r="E24" s="21"/>
      <c r="F24" s="21"/>
      <c r="G24" s="21"/>
    </row>
    <row r="25" spans="1:7" ht="13" x14ac:dyDescent="0.25">
      <c r="A25" s="10" t="s">
        <v>57</v>
      </c>
      <c r="B25" s="10" t="s">
        <v>65</v>
      </c>
      <c r="C25" s="10" t="s">
        <v>55</v>
      </c>
    </row>
    <row r="26" spans="1:7" x14ac:dyDescent="0.25">
      <c r="A26" s="11" t="s">
        <v>58</v>
      </c>
      <c r="B26" s="12">
        <f>COUNTIF('Réponses au formulaire 1'!F2:F16,"Moins de 1h")</f>
        <v>0</v>
      </c>
      <c r="C26" s="13">
        <f t="shared" ref="C26:C31" si="1">B26/15</f>
        <v>0</v>
      </c>
    </row>
    <row r="27" spans="1:7" x14ac:dyDescent="0.25">
      <c r="A27" s="1" t="s">
        <v>27</v>
      </c>
      <c r="B27" s="2">
        <f>COUNTIF('Réponses au formulaire 1'!F2:F16,"Entre 1h et 2h")</f>
        <v>1</v>
      </c>
      <c r="C27" s="7">
        <f t="shared" si="1"/>
        <v>6.6666666666666666E-2</v>
      </c>
    </row>
    <row r="28" spans="1:7" x14ac:dyDescent="0.25">
      <c r="A28" s="11" t="s">
        <v>21</v>
      </c>
      <c r="B28" s="12">
        <f>COUNTIF('Réponses au formulaire 1'!F2:F16,"Entre 2h et 3h")</f>
        <v>6</v>
      </c>
      <c r="C28" s="13">
        <f t="shared" si="1"/>
        <v>0.4</v>
      </c>
    </row>
    <row r="29" spans="1:7" x14ac:dyDescent="0.25">
      <c r="A29" s="1" t="s">
        <v>17</v>
      </c>
      <c r="B29" s="2">
        <f>COUNTIF('Réponses au formulaire 1'!F2:F16,"Entre 3h et 4h")</f>
        <v>2</v>
      </c>
      <c r="C29" s="7">
        <f t="shared" si="1"/>
        <v>0.13333333333333333</v>
      </c>
    </row>
    <row r="30" spans="1:7" x14ac:dyDescent="0.25">
      <c r="A30" s="11" t="s">
        <v>5</v>
      </c>
      <c r="B30" s="12">
        <f>COUNTIF('Réponses au formulaire 1'!F2:F16,"plus de 4h")</f>
        <v>6</v>
      </c>
      <c r="C30" s="13">
        <f t="shared" si="1"/>
        <v>0.4</v>
      </c>
    </row>
    <row r="31" spans="1:7" ht="13" x14ac:dyDescent="0.25">
      <c r="A31" s="14" t="s">
        <v>56</v>
      </c>
      <c r="B31" s="14">
        <f>SUM(B26:B30)</f>
        <v>15</v>
      </c>
      <c r="C31" s="15">
        <f t="shared" si="1"/>
        <v>1</v>
      </c>
      <c r="D31" s="14"/>
    </row>
    <row r="33" spans="1:7" ht="26" customHeight="1" x14ac:dyDescent="0.25">
      <c r="A33" s="18" t="s">
        <v>77</v>
      </c>
      <c r="B33" s="18"/>
      <c r="C33" s="18"/>
      <c r="D33" s="18"/>
      <c r="E33" s="18"/>
      <c r="F33" s="18"/>
      <c r="G33" s="18"/>
    </row>
    <row r="35" spans="1:7" x14ac:dyDescent="0.25">
      <c r="E35" t="s">
        <v>10</v>
      </c>
      <c r="F35">
        <f>COUNTIF('Réponses au formulaire 1'!D2:D16,"Tiktok")</f>
        <v>5</v>
      </c>
    </row>
    <row r="36" spans="1:7" x14ac:dyDescent="0.25">
      <c r="E36" t="s">
        <v>3</v>
      </c>
      <c r="F36">
        <f>COUNTIF('Réponses au formulaire 1'!D2:D16,"Youtube")</f>
        <v>3</v>
      </c>
    </row>
    <row r="37" spans="1:7" x14ac:dyDescent="0.25">
      <c r="E37" t="s">
        <v>15</v>
      </c>
      <c r="F37">
        <f>COUNTIF('Réponses au formulaire 1'!D2:D16,"Snapchat")</f>
        <v>3</v>
      </c>
    </row>
    <row r="38" spans="1:7" x14ac:dyDescent="0.25">
      <c r="E38" t="s">
        <v>35</v>
      </c>
      <c r="F38">
        <f>COUNTIF('Réponses au formulaire 1'!D2:D16,"Instagram")</f>
        <v>1</v>
      </c>
    </row>
    <row r="39" spans="1:7" x14ac:dyDescent="0.25">
      <c r="E39" t="s">
        <v>40</v>
      </c>
      <c r="F39">
        <f>COUNTIF('Réponses au formulaire 1'!D2:D16,"Facebook")</f>
        <v>1</v>
      </c>
    </row>
    <row r="40" spans="1:7" x14ac:dyDescent="0.25">
      <c r="E40" t="s">
        <v>44</v>
      </c>
      <c r="F40">
        <f>COUNTIF('Réponses au formulaire 1'!D2:D16,"Linkedln")</f>
        <v>1</v>
      </c>
    </row>
    <row r="41" spans="1:7" x14ac:dyDescent="0.25">
      <c r="E41" t="s">
        <v>48</v>
      </c>
      <c r="F41">
        <f>COUNTIF('Réponses au formulaire 1'!D2:D16,"Autres(preciser)")</f>
        <v>1</v>
      </c>
    </row>
    <row r="43" spans="1:7" x14ac:dyDescent="0.25">
      <c r="E43" t="s">
        <v>58</v>
      </c>
      <c r="F43">
        <f>COUNTIF('Réponses au formulaire 1'!F2:F16,"Moins de 1h")</f>
        <v>0</v>
      </c>
    </row>
    <row r="44" spans="1:7" x14ac:dyDescent="0.25">
      <c r="E44" t="s">
        <v>27</v>
      </c>
      <c r="F44">
        <f>COUNTIF('Réponses au formulaire 1'!F2:F16,"Entre 1h et 2h")</f>
        <v>1</v>
      </c>
    </row>
    <row r="45" spans="1:7" x14ac:dyDescent="0.25">
      <c r="E45" t="s">
        <v>21</v>
      </c>
      <c r="F45">
        <f>COUNTIF('Réponses au formulaire 1'!F2:F16,"Entre 2h et 3h")</f>
        <v>6</v>
      </c>
    </row>
    <row r="46" spans="1:7" x14ac:dyDescent="0.25">
      <c r="E46" t="s">
        <v>17</v>
      </c>
      <c r="F46">
        <f>COUNTIF('Réponses au formulaire 1'!F2:F16,"Entre 3h et 4h")</f>
        <v>2</v>
      </c>
    </row>
    <row r="47" spans="1:7" x14ac:dyDescent="0.25">
      <c r="E47" t="s">
        <v>5</v>
      </c>
      <c r="F47">
        <f>COUNTIF('Réponses au formulaire 1'!F2:F16,"plus de 4h")</f>
        <v>6</v>
      </c>
    </row>
    <row r="68" spans="1:7" ht="26" customHeight="1" x14ac:dyDescent="0.25">
      <c r="A68" s="18" t="s">
        <v>78</v>
      </c>
      <c r="B68" s="18"/>
      <c r="C68" s="18"/>
      <c r="D68" s="18"/>
      <c r="E68" s="18"/>
      <c r="F68" s="18"/>
      <c r="G68" s="18"/>
    </row>
    <row r="70" spans="1:7" ht="32" customHeight="1" x14ac:dyDescent="0.25">
      <c r="A70" s="27" t="s">
        <v>59</v>
      </c>
      <c r="B70" s="28"/>
      <c r="C70" s="28"/>
      <c r="D70" s="28"/>
      <c r="E70" s="28"/>
      <c r="F70" s="28"/>
      <c r="G70" s="28"/>
    </row>
    <row r="71" spans="1:7" ht="32" customHeight="1" x14ac:dyDescent="0.25">
      <c r="A71" s="29" t="s">
        <v>60</v>
      </c>
      <c r="B71" s="30"/>
      <c r="C71" s="30"/>
      <c r="D71" s="30"/>
      <c r="E71" s="30"/>
      <c r="F71" s="30"/>
      <c r="G71" s="30"/>
    </row>
    <row r="72" spans="1:7" ht="32" customHeight="1" x14ac:dyDescent="0.25">
      <c r="A72" s="27" t="s">
        <v>61</v>
      </c>
      <c r="B72" s="28"/>
      <c r="C72" s="28"/>
      <c r="D72" s="28"/>
      <c r="E72" s="28"/>
      <c r="F72" s="28"/>
      <c r="G72" s="28"/>
    </row>
    <row r="73" spans="1:7" ht="32" customHeight="1" x14ac:dyDescent="0.25">
      <c r="A73" s="29" t="s">
        <v>62</v>
      </c>
      <c r="B73" s="30"/>
      <c r="C73" s="30"/>
      <c r="D73" s="30"/>
      <c r="E73" s="30"/>
      <c r="F73" s="30"/>
      <c r="G73" s="30"/>
    </row>
    <row r="74" spans="1:7" ht="32" customHeight="1" x14ac:dyDescent="0.25">
      <c r="A74" s="27" t="s">
        <v>63</v>
      </c>
      <c r="B74" s="28"/>
      <c r="C74" s="28"/>
      <c r="D74" s="28"/>
      <c r="E74" s="28"/>
      <c r="F74" s="28"/>
      <c r="G74" s="28"/>
    </row>
  </sheetData>
  <mergeCells count="13">
    <mergeCell ref="A13:G13"/>
    <mergeCell ref="A68:G68"/>
    <mergeCell ref="A1:G1"/>
    <mergeCell ref="A74:G74"/>
    <mergeCell ref="A70:G70"/>
    <mergeCell ref="A6:G6"/>
    <mergeCell ref="A4:G4"/>
    <mergeCell ref="A24:G24"/>
    <mergeCell ref="A2:G2"/>
    <mergeCell ref="A72:G72"/>
    <mergeCell ref="A71:G71"/>
    <mergeCell ref="A73:G73"/>
    <mergeCell ref="A33:G33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Réponses au formulaire 1</vt:lpstr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Taleb med taleb</cp:lastModifiedBy>
  <dcterms:created xsi:type="dcterms:W3CDTF">2026-03-14T23:32:04Z</dcterms:created>
  <dcterms:modified xsi:type="dcterms:W3CDTF">2026-03-15T00:51:08Z</dcterms:modified>
</cp:coreProperties>
</file>